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6R\Downloads\concert-tracker\"/>
    </mc:Choice>
  </mc:AlternateContent>
  <xr:revisionPtr revIDLastSave="0" documentId="13_ncr:1_{23920260-FECB-40B3-8399-677993C0437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atchlist" sheetId="1" r:id="rId1"/>
    <sheet name="Legend" sheetId="2" r:id="rId2"/>
  </sheets>
  <definedNames>
    <definedName name="_xlnm._FilterDatabase" localSheetId="0" hidden="1">Watchlist!$A$1:$N$1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1" l="1"/>
  <c r="M9" i="1"/>
  <c r="L8" i="1"/>
  <c r="M8" i="1"/>
  <c r="L7" i="1"/>
  <c r="M7" i="1"/>
  <c r="L6" i="1"/>
  <c r="M6" i="1"/>
  <c r="M3" i="1"/>
  <c r="M4" i="1"/>
  <c r="M5" i="1"/>
  <c r="L3" i="1"/>
  <c r="L4" i="1"/>
  <c r="L5" i="1"/>
  <c r="L2" i="1"/>
  <c r="M2" i="1"/>
</calcChain>
</file>

<file path=xl/sharedStrings.xml><?xml version="1.0" encoding="utf-8"?>
<sst xmlns="http://schemas.openxmlformats.org/spreadsheetml/2006/main" count="110" uniqueCount="56">
  <si>
    <t>Artist</t>
  </si>
  <si>
    <t>Venue</t>
  </si>
  <si>
    <t>City</t>
  </si>
  <si>
    <t>State</t>
  </si>
  <si>
    <t>Show Date</t>
  </si>
  <si>
    <t>Date Range Start</t>
  </si>
  <si>
    <t>Date Range End</t>
  </si>
  <si>
    <t>Plan to Attend</t>
  </si>
  <si>
    <t>Attended</t>
  </si>
  <si>
    <t>Budget / Ticket</t>
  </si>
  <si>
    <t>Actual / Ticket</t>
  </si>
  <si>
    <t>$ Over/Under</t>
  </si>
  <si>
    <t>% Over/Under</t>
  </si>
  <si>
    <t>Notes</t>
  </si>
  <si>
    <t>CA</t>
  </si>
  <si>
    <t>Yes</t>
  </si>
  <si>
    <t>Las Vegas</t>
  </si>
  <si>
    <t>NV</t>
  </si>
  <si>
    <t>Maybe</t>
  </si>
  <si>
    <t>Allegiant Stadium</t>
  </si>
  <si>
    <t>Color</t>
  </si>
  <si>
    <t>Meaning</t>
  </si>
  <si>
    <t>Blue text on light blue</t>
  </si>
  <si>
    <t>Hardcoded input — edit these</t>
  </si>
  <si>
    <t>Black text on light green</t>
  </si>
  <si>
    <t>Formula — do not edit</t>
  </si>
  <si>
    <t>Blue text on light yellow</t>
  </si>
  <si>
    <t>Attended / actual data — fill in after the show</t>
  </si>
  <si>
    <t>Yes / Maybe / No</t>
  </si>
  <si>
    <t>Yes / No</t>
  </si>
  <si>
    <t>Def Leppard</t>
  </si>
  <si>
    <t>Sammy Hagar</t>
  </si>
  <si>
    <t>Dolby Live</t>
  </si>
  <si>
    <t>Luke Combs</t>
  </si>
  <si>
    <t>Morgan Wallen</t>
  </si>
  <si>
    <t>LA Guns</t>
  </si>
  <si>
    <t>BulletBoys</t>
  </si>
  <si>
    <t>Jason Aldean</t>
  </si>
  <si>
    <t>Marilyn Manson</t>
  </si>
  <si>
    <t>Five Finger Death Punch</t>
  </si>
  <si>
    <t>Scorpions</t>
  </si>
  <si>
    <t>Treaty Oak Revival</t>
  </si>
  <si>
    <t>Guns N Roses</t>
  </si>
  <si>
    <t>Cannery Hotel and Casino</t>
  </si>
  <si>
    <t>The Showroom at the Golden Nugget</t>
  </si>
  <si>
    <t>Toyota Amphitheatre</t>
  </si>
  <si>
    <t>PH Live</t>
  </si>
  <si>
    <t>Toyota Pavilion</t>
  </si>
  <si>
    <t>Concord</t>
  </si>
  <si>
    <t>Michelob Ultra Arena</t>
  </si>
  <si>
    <t>Wheatland</t>
  </si>
  <si>
    <t>The Theater at the Virgin</t>
  </si>
  <si>
    <t>Alice Cooper</t>
  </si>
  <si>
    <t>Criss Angel Theater</t>
  </si>
  <si>
    <t>Ticket vendor for event is AXS not Ticketmaster</t>
  </si>
  <si>
    <t>The Colosseum at Caesars Palace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</si>
</sst>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\$#,##0"/>
    <numFmt numFmtId="166" formatCode="\$#,##0;\(\$#,##0\);&quot;-&quot;"/>
    <numFmt numFmtId="167" formatCode="0.0%;\(0.0%\);\-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0000FF"/>
      <name val="Arial"/>
    </font>
    <font>
      <sz val="10"/>
      <color rgb="FF000000"/>
      <name val="Arial"/>
    </font>
    <font>
      <b/>
      <sz val="11"/>
      <name val="Arial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E8F4FD"/>
      </patternFill>
    </fill>
    <fill>
      <patternFill patternType="solid">
        <fgColor rgb="FFFFF9E6"/>
      </patternFill>
    </fill>
    <fill>
      <patternFill patternType="solid">
        <fgColor rgb="FFF0FFF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166" fontId="3" fillId="5" borderId="2" xfId="0" applyNumberFormat="1" applyFont="1" applyFill="1" applyBorder="1" applyAlignment="1">
      <alignment horizontal="center" vertical="center"/>
    </xf>
    <xf numFmtId="167" fontId="3" fillId="5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abSelected="1" workbookViewId="0">
      <pane ySplit="1" topLeftCell="A3" activePane="bottomLeft" state="frozen"/>
      <selection pane="bottomLeft" activeCell="G14" sqref="G14"/>
    </sheetView>
  </sheetViews>
  <sheetFormatPr defaultRowHeight="14.5" x14ac:dyDescent="0.35"/>
  <cols>
    <col min="1" max="1" width="22" customWidth="1"/>
    <col min="2" max="2" width="28" customWidth="1"/>
    <col min="3" max="3" width="18" customWidth="1"/>
    <col min="4" max="4" width="8" customWidth="1"/>
    <col min="5" max="5" width="14" customWidth="1"/>
    <col min="6" max="7" width="16" customWidth="1"/>
    <col min="8" max="8" width="14" customWidth="1"/>
    <col min="9" max="9" width="12" customWidth="1"/>
    <col min="10" max="13" width="16" customWidth="1"/>
    <col min="14" max="14" width="31.6328125" bestFit="1" customWidth="1"/>
  </cols>
  <sheetData>
    <row r="1" spans="1:14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 t="s">
        <v>30</v>
      </c>
      <c r="B2" s="3" t="s">
        <v>55</v>
      </c>
      <c r="C2" s="2" t="s">
        <v>16</v>
      </c>
      <c r="D2" s="2" t="s">
        <v>17</v>
      </c>
      <c r="E2" s="4">
        <v>46056</v>
      </c>
      <c r="F2" s="4">
        <v>46054</v>
      </c>
      <c r="G2" s="4">
        <v>46081</v>
      </c>
      <c r="H2" s="7" t="s">
        <v>15</v>
      </c>
      <c r="I2" s="8" t="s">
        <v>15</v>
      </c>
      <c r="J2" s="9">
        <v>180</v>
      </c>
      <c r="K2" s="5">
        <v>130</v>
      </c>
      <c r="L2" s="10">
        <f t="shared" ref="L2:L9" si="0">IF(AND(K2&lt;&gt;"",J2&lt;&gt;""),K2-J2,"")</f>
        <v>-50</v>
      </c>
      <c r="M2" s="11">
        <f t="shared" ref="M2:M9" si="1">IF(AND(K2&lt;&gt;"",J2&lt;&gt;""),(K2-J2)/J2,"")</f>
        <v>-0.27777777777777779</v>
      </c>
      <c r="N2" s="3"/>
    </row>
    <row r="3" spans="1:14" x14ac:dyDescent="0.35">
      <c r="A3" s="2" t="s">
        <v>31</v>
      </c>
      <c r="B3" s="3" t="s">
        <v>32</v>
      </c>
      <c r="C3" s="2" t="s">
        <v>16</v>
      </c>
      <c r="D3" s="2" t="s">
        <v>17</v>
      </c>
      <c r="E3" s="4">
        <v>46092</v>
      </c>
      <c r="F3" s="4">
        <v>46082</v>
      </c>
      <c r="G3" s="4">
        <v>46112</v>
      </c>
      <c r="H3" s="7" t="s">
        <v>15</v>
      </c>
      <c r="I3" s="8" t="s">
        <v>15</v>
      </c>
      <c r="J3" s="9">
        <v>160</v>
      </c>
      <c r="K3" s="5">
        <v>180</v>
      </c>
      <c r="L3" s="10">
        <f t="shared" si="0"/>
        <v>20</v>
      </c>
      <c r="M3" s="11">
        <f t="shared" si="1"/>
        <v>0.125</v>
      </c>
      <c r="N3" s="3"/>
    </row>
    <row r="4" spans="1:14" x14ac:dyDescent="0.35">
      <c r="A4" s="2" t="s">
        <v>33</v>
      </c>
      <c r="B4" s="3" t="s">
        <v>19</v>
      </c>
      <c r="C4" s="2" t="s">
        <v>16</v>
      </c>
      <c r="D4" s="2" t="s">
        <v>17</v>
      </c>
      <c r="E4" s="4">
        <v>46102</v>
      </c>
      <c r="F4" s="4">
        <v>46082</v>
      </c>
      <c r="G4" s="4">
        <v>46112</v>
      </c>
      <c r="H4" s="7" t="s">
        <v>15</v>
      </c>
      <c r="I4" s="8" t="s">
        <v>15</v>
      </c>
      <c r="J4" s="9">
        <v>200</v>
      </c>
      <c r="K4" s="5">
        <v>200</v>
      </c>
      <c r="L4" s="10">
        <f t="shared" si="0"/>
        <v>0</v>
      </c>
      <c r="M4" s="11">
        <f t="shared" si="1"/>
        <v>0</v>
      </c>
      <c r="N4" s="3"/>
    </row>
    <row r="5" spans="1:14" x14ac:dyDescent="0.35">
      <c r="A5" s="2" t="s">
        <v>34</v>
      </c>
      <c r="B5" s="3" t="s">
        <v>19</v>
      </c>
      <c r="C5" s="2" t="s">
        <v>16</v>
      </c>
      <c r="D5" s="2" t="s">
        <v>17</v>
      </c>
      <c r="E5" s="4">
        <v>46144</v>
      </c>
      <c r="F5" s="4">
        <v>46143</v>
      </c>
      <c r="G5" s="4">
        <v>46173</v>
      </c>
      <c r="H5" s="7" t="s">
        <v>15</v>
      </c>
      <c r="I5" s="8" t="s">
        <v>15</v>
      </c>
      <c r="J5" s="9">
        <v>200</v>
      </c>
      <c r="K5" s="5">
        <v>270</v>
      </c>
      <c r="L5" s="10">
        <f t="shared" si="0"/>
        <v>70</v>
      </c>
      <c r="M5" s="11">
        <f t="shared" si="1"/>
        <v>0.35</v>
      </c>
      <c r="N5" s="3"/>
    </row>
    <row r="6" spans="1:14" x14ac:dyDescent="0.35">
      <c r="A6" s="2" t="s">
        <v>36</v>
      </c>
      <c r="B6" s="3" t="s">
        <v>44</v>
      </c>
      <c r="C6" s="2" t="s">
        <v>16</v>
      </c>
      <c r="D6" s="2" t="s">
        <v>17</v>
      </c>
      <c r="E6" s="4">
        <v>46206</v>
      </c>
      <c r="F6" s="4">
        <v>46204</v>
      </c>
      <c r="G6" s="4">
        <v>46234</v>
      </c>
      <c r="H6" s="7" t="s">
        <v>15</v>
      </c>
      <c r="I6" s="8" t="s">
        <v>15</v>
      </c>
      <c r="J6" s="9">
        <v>120</v>
      </c>
      <c r="K6" s="5">
        <v>70</v>
      </c>
      <c r="L6" s="10">
        <f t="shared" si="0"/>
        <v>-50</v>
      </c>
      <c r="M6" s="11">
        <f t="shared" si="1"/>
        <v>-0.41666666666666669</v>
      </c>
      <c r="N6" s="3"/>
    </row>
    <row r="7" spans="1:14" x14ac:dyDescent="0.35">
      <c r="A7" s="2" t="s">
        <v>35</v>
      </c>
      <c r="B7" s="3" t="s">
        <v>43</v>
      </c>
      <c r="C7" s="2" t="s">
        <v>16</v>
      </c>
      <c r="D7" s="2" t="s">
        <v>17</v>
      </c>
      <c r="E7" s="4">
        <v>46208</v>
      </c>
      <c r="F7" s="4">
        <v>46204</v>
      </c>
      <c r="G7" s="4">
        <v>46234</v>
      </c>
      <c r="H7" s="7" t="s">
        <v>18</v>
      </c>
      <c r="I7" s="8" t="s">
        <v>15</v>
      </c>
      <c r="J7" s="9">
        <v>65</v>
      </c>
      <c r="K7" s="5">
        <v>74</v>
      </c>
      <c r="L7" s="10">
        <f t="shared" si="0"/>
        <v>9</v>
      </c>
      <c r="M7" s="11">
        <f t="shared" si="1"/>
        <v>0.13846153846153847</v>
      </c>
      <c r="N7" s="3"/>
    </row>
    <row r="8" spans="1:14" x14ac:dyDescent="0.35">
      <c r="A8" s="2" t="s">
        <v>37</v>
      </c>
      <c r="B8" s="3" t="s">
        <v>45</v>
      </c>
      <c r="C8" s="2" t="s">
        <v>50</v>
      </c>
      <c r="D8" s="2" t="s">
        <v>14</v>
      </c>
      <c r="E8" s="4">
        <v>46248</v>
      </c>
      <c r="F8" s="4">
        <v>46235</v>
      </c>
      <c r="G8" s="4">
        <v>46265</v>
      </c>
      <c r="H8" s="7" t="s">
        <v>15</v>
      </c>
      <c r="I8" s="8" t="s">
        <v>15</v>
      </c>
      <c r="J8" s="9">
        <v>170</v>
      </c>
      <c r="K8" s="5">
        <v>219</v>
      </c>
      <c r="L8" s="10">
        <f t="shared" si="0"/>
        <v>49</v>
      </c>
      <c r="M8" s="11">
        <f t="shared" si="1"/>
        <v>0.28823529411764703</v>
      </c>
      <c r="N8" s="3"/>
    </row>
    <row r="9" spans="1:14" x14ac:dyDescent="0.35">
      <c r="A9" s="2" t="s">
        <v>42</v>
      </c>
      <c r="B9" s="3" t="s">
        <v>19</v>
      </c>
      <c r="C9" s="2" t="s">
        <v>16</v>
      </c>
      <c r="D9" s="2" t="s">
        <v>17</v>
      </c>
      <c r="E9" s="4">
        <v>46256</v>
      </c>
      <c r="F9" s="4">
        <v>46235</v>
      </c>
      <c r="G9" s="4">
        <v>46265</v>
      </c>
      <c r="H9" s="7" t="s">
        <v>15</v>
      </c>
      <c r="I9" s="8" t="s">
        <v>15</v>
      </c>
      <c r="J9" s="9">
        <v>120</v>
      </c>
      <c r="K9" s="5">
        <v>50</v>
      </c>
      <c r="L9" s="10">
        <f t="shared" si="0"/>
        <v>-70</v>
      </c>
      <c r="M9" s="11">
        <f t="shared" si="1"/>
        <v>-0.58333333333333337</v>
      </c>
      <c r="N9" s="3"/>
    </row>
    <row r="10" spans="1:14" x14ac:dyDescent="0.35">
      <c r="A10" s="2" t="s">
        <v>39</v>
      </c>
      <c r="B10" s="3" t="s">
        <v>49</v>
      </c>
      <c r="C10" s="2" t="s">
        <v>16</v>
      </c>
      <c r="D10" s="2" t="s">
        <v>17</v>
      </c>
      <c r="E10" s="4">
        <v>46284</v>
      </c>
      <c r="F10" s="4">
        <v>46266</v>
      </c>
      <c r="G10" s="4">
        <v>46295</v>
      </c>
      <c r="H10" s="7" t="s">
        <v>18</v>
      </c>
      <c r="I10" s="8"/>
      <c r="J10" s="9">
        <v>125</v>
      </c>
      <c r="K10" s="5"/>
      <c r="L10" s="10"/>
      <c r="M10" s="11"/>
      <c r="N10" s="3"/>
    </row>
    <row r="11" spans="1:14" x14ac:dyDescent="0.35">
      <c r="A11" s="2" t="s">
        <v>38</v>
      </c>
      <c r="B11" s="3" t="s">
        <v>47</v>
      </c>
      <c r="C11" s="2" t="s">
        <v>48</v>
      </c>
      <c r="D11" s="2" t="s">
        <v>14</v>
      </c>
      <c r="E11" s="4">
        <v>46285</v>
      </c>
      <c r="F11" s="4">
        <v>46266</v>
      </c>
      <c r="G11" s="4">
        <v>46295</v>
      </c>
      <c r="H11" s="7" t="s">
        <v>18</v>
      </c>
      <c r="I11" s="8"/>
      <c r="J11" s="9">
        <v>150</v>
      </c>
      <c r="K11" s="5"/>
      <c r="L11" s="10"/>
      <c r="M11" s="11"/>
      <c r="N11" s="3"/>
    </row>
    <row r="12" spans="1:14" x14ac:dyDescent="0.35">
      <c r="A12" s="2" t="s">
        <v>31</v>
      </c>
      <c r="B12" s="3" t="s">
        <v>32</v>
      </c>
      <c r="C12" s="2" t="s">
        <v>16</v>
      </c>
      <c r="D12" s="2" t="s">
        <v>17</v>
      </c>
      <c r="E12" s="4">
        <v>46288</v>
      </c>
      <c r="F12" s="4">
        <v>46266</v>
      </c>
      <c r="G12" s="4">
        <v>46295</v>
      </c>
      <c r="H12" s="7" t="s">
        <v>15</v>
      </c>
      <c r="I12" s="8"/>
      <c r="J12" s="9">
        <v>170</v>
      </c>
      <c r="K12" s="5"/>
      <c r="L12" s="10"/>
      <c r="M12" s="11"/>
      <c r="N12" s="3"/>
    </row>
    <row r="13" spans="1:14" x14ac:dyDescent="0.35">
      <c r="A13" s="2" t="s">
        <v>40</v>
      </c>
      <c r="B13" s="3" t="s">
        <v>46</v>
      </c>
      <c r="C13" s="2" t="s">
        <v>16</v>
      </c>
      <c r="D13" s="2" t="s">
        <v>17</v>
      </c>
      <c r="E13" s="4">
        <v>46289</v>
      </c>
      <c r="F13" s="4">
        <v>46266</v>
      </c>
      <c r="G13" s="4">
        <v>46295</v>
      </c>
      <c r="H13" s="7" t="s">
        <v>15</v>
      </c>
      <c r="I13" s="8"/>
      <c r="J13" s="9">
        <v>160</v>
      </c>
      <c r="K13" s="5"/>
      <c r="L13" s="10"/>
      <c r="M13" s="11"/>
      <c r="N13" s="3"/>
    </row>
    <row r="14" spans="1:14" x14ac:dyDescent="0.35">
      <c r="A14" s="2" t="s">
        <v>41</v>
      </c>
      <c r="B14" s="3" t="s">
        <v>51</v>
      </c>
      <c r="C14" s="2" t="s">
        <v>16</v>
      </c>
      <c r="D14" s="2" t="s">
        <v>17</v>
      </c>
      <c r="E14" s="4">
        <v>46318</v>
      </c>
      <c r="F14" s="4">
        <v>46296</v>
      </c>
      <c r="G14" s="4">
        <v>46326</v>
      </c>
      <c r="H14" s="7" t="s">
        <v>15</v>
      </c>
      <c r="I14" s="8"/>
      <c r="J14" s="9">
        <v>90</v>
      </c>
      <c r="K14" s="5"/>
      <c r="L14" s="10"/>
      <c r="M14" s="11"/>
      <c r="N14" s="3" t="s">
        <v>54</v>
      </c>
    </row>
    <row r="15" spans="1:14" x14ac:dyDescent="0.35">
      <c r="A15" s="2" t="s">
        <v>52</v>
      </c>
      <c r="B15" s="3" t="s">
        <v>53</v>
      </c>
      <c r="C15" s="2" t="s">
        <v>16</v>
      </c>
      <c r="D15" s="2" t="s">
        <v>17</v>
      </c>
      <c r="E15" s="4">
        <v>46360</v>
      </c>
      <c r="F15" s="4">
        <v>46357</v>
      </c>
      <c r="G15" s="4">
        <v>46387</v>
      </c>
      <c r="H15" s="7" t="s">
        <v>18</v>
      </c>
      <c r="I15" s="8"/>
      <c r="J15" s="9">
        <v>160</v>
      </c>
      <c r="K15" s="5"/>
      <c r="L15" s="10"/>
      <c r="M15" s="11"/>
      <c r="N15" s="3"/>
    </row>
    <row r="16" spans="1:14" x14ac:dyDescent="0.35">
      <c r="A16" s="2" t="s">
        <v>37</v>
      </c>
      <c r="B16" s="3" t="s">
        <v>19</v>
      </c>
      <c r="C16" s="2" t="s">
        <v>16</v>
      </c>
      <c r="D16" s="2" t="s">
        <v>17</v>
      </c>
      <c r="E16" s="4">
        <v>46367</v>
      </c>
      <c r="F16" s="4">
        <v>46357</v>
      </c>
      <c r="G16" s="4">
        <v>46387</v>
      </c>
      <c r="H16" s="7" t="s">
        <v>15</v>
      </c>
      <c r="I16" s="8"/>
      <c r="J16" s="9">
        <v>130</v>
      </c>
      <c r="K16" s="5"/>
      <c r="L16" s="10"/>
      <c r="M16" s="11"/>
      <c r="N16" s="3"/>
    </row>
    <row r="17" spans="1:14" x14ac:dyDescent="0.35">
      <c r="A17" s="2"/>
      <c r="B17" s="3"/>
      <c r="C17" s="2"/>
      <c r="D17" s="2"/>
      <c r="E17" s="4"/>
      <c r="F17" s="4"/>
      <c r="G17" s="4"/>
      <c r="H17" s="7"/>
      <c r="I17" s="8"/>
      <c r="J17" s="9"/>
      <c r="K17" s="5"/>
      <c r="L17" s="10"/>
      <c r="M17" s="11"/>
      <c r="N17" s="3"/>
    </row>
    <row r="18" spans="1:14" x14ac:dyDescent="0.35">
      <c r="A18" s="2"/>
      <c r="B18" s="3"/>
      <c r="C18" s="2"/>
      <c r="D18" s="2"/>
      <c r="E18" s="4"/>
      <c r="F18" s="4"/>
      <c r="G18" s="4"/>
      <c r="H18" s="7"/>
      <c r="I18" s="8"/>
      <c r="J18" s="9"/>
      <c r="K18" s="5"/>
      <c r="L18" s="10"/>
      <c r="M18" s="11"/>
      <c r="N18" s="3"/>
    </row>
    <row r="19" spans="1:14" x14ac:dyDescent="0.35">
      <c r="A19" s="2"/>
      <c r="B19" s="3"/>
      <c r="C19" s="2"/>
      <c r="D19" s="2"/>
      <c r="E19" s="4"/>
      <c r="F19" s="4"/>
      <c r="G19" s="4"/>
      <c r="H19" s="7"/>
      <c r="I19" s="8"/>
      <c r="J19" s="9"/>
      <c r="K19" s="5"/>
      <c r="L19" s="10"/>
      <c r="M19" s="11"/>
      <c r="N19" s="3"/>
    </row>
    <row r="20" spans="1:14" x14ac:dyDescent="0.35">
      <c r="A20" s="2"/>
      <c r="B20" s="3"/>
      <c r="C20" s="2"/>
      <c r="D20" s="2"/>
      <c r="E20" s="4"/>
      <c r="F20" s="4"/>
      <c r="G20" s="4"/>
      <c r="H20" s="7"/>
      <c r="I20" s="8"/>
      <c r="J20" s="9"/>
      <c r="K20" s="5"/>
      <c r="L20" s="10"/>
      <c r="M20" s="11"/>
      <c r="N20" s="3"/>
    </row>
    <row r="21" spans="1:14" x14ac:dyDescent="0.35">
      <c r="A21" s="2"/>
      <c r="B21" s="3"/>
      <c r="C21" s="2"/>
      <c r="D21" s="2"/>
      <c r="E21" s="4"/>
      <c r="F21" s="4"/>
      <c r="G21" s="4"/>
      <c r="H21" s="7"/>
      <c r="I21" s="8"/>
      <c r="J21" s="9"/>
      <c r="K21" s="5"/>
      <c r="L21" s="10"/>
      <c r="M21" s="11"/>
      <c r="N21" s="3"/>
    </row>
    <row r="22" spans="1:14" x14ac:dyDescent="0.35">
      <c r="A22" s="2"/>
      <c r="B22" s="3"/>
      <c r="C22" s="2"/>
      <c r="D22" s="2"/>
      <c r="E22" s="4"/>
      <c r="F22" s="4"/>
      <c r="G22" s="4"/>
      <c r="H22" s="7"/>
      <c r="I22" s="8"/>
      <c r="J22" s="9"/>
      <c r="K22" s="5"/>
      <c r="L22" s="10"/>
      <c r="M22" s="11"/>
      <c r="N22" s="3"/>
    </row>
    <row r="23" spans="1:14" x14ac:dyDescent="0.35">
      <c r="A23" s="2"/>
      <c r="B23" s="3"/>
      <c r="C23" s="2"/>
      <c r="D23" s="2"/>
      <c r="E23" s="4"/>
      <c r="F23" s="4"/>
      <c r="G23" s="4"/>
      <c r="H23" s="7"/>
      <c r="I23" s="8"/>
      <c r="J23" s="9"/>
      <c r="K23" s="5"/>
      <c r="L23" s="10"/>
      <c r="M23" s="11"/>
      <c r="N23" s="3"/>
    </row>
    <row r="24" spans="1:14" x14ac:dyDescent="0.35">
      <c r="A24" s="2"/>
      <c r="B24" s="3"/>
      <c r="C24" s="2"/>
      <c r="D24" s="2"/>
      <c r="E24" s="4"/>
      <c r="F24" s="4"/>
      <c r="G24" s="4"/>
      <c r="H24" s="7"/>
      <c r="I24" s="8"/>
      <c r="J24" s="9"/>
      <c r="K24" s="5"/>
      <c r="L24" s="10"/>
      <c r="M24" s="11"/>
      <c r="N24" s="3"/>
    </row>
    <row r="25" spans="1:14" x14ac:dyDescent="0.35">
      <c r="A25" s="2"/>
      <c r="B25" s="3"/>
      <c r="C25" s="2"/>
      <c r="D25" s="2"/>
      <c r="E25" s="4"/>
      <c r="F25" s="4"/>
      <c r="G25" s="4"/>
      <c r="H25" s="7"/>
      <c r="I25" s="8"/>
      <c r="J25" s="9"/>
      <c r="K25" s="5"/>
      <c r="L25" s="10"/>
      <c r="M25" s="11"/>
      <c r="N25" s="3"/>
    </row>
    <row r="26" spans="1:14" x14ac:dyDescent="0.35">
      <c r="A26" s="2"/>
      <c r="B26" s="3"/>
      <c r="C26" s="2"/>
      <c r="D26" s="2"/>
      <c r="E26" s="4"/>
      <c r="F26" s="4"/>
      <c r="G26" s="4"/>
      <c r="H26" s="7"/>
      <c r="I26" s="8"/>
      <c r="J26" s="9"/>
      <c r="K26" s="5"/>
      <c r="L26" s="10"/>
      <c r="M26" s="11"/>
      <c r="N26" s="3"/>
    </row>
    <row r="27" spans="1:14" x14ac:dyDescent="0.35">
      <c r="A27" s="2"/>
      <c r="B27" s="3"/>
      <c r="C27" s="2"/>
      <c r="D27" s="2"/>
      <c r="E27" s="4"/>
      <c r="F27" s="4"/>
      <c r="G27" s="4"/>
      <c r="H27" s="7"/>
      <c r="I27" s="8"/>
      <c r="J27" s="9"/>
      <c r="K27" s="5"/>
      <c r="L27" s="10"/>
      <c r="M27" s="11"/>
      <c r="N27" s="3"/>
    </row>
    <row r="28" spans="1:14" x14ac:dyDescent="0.35">
      <c r="A28" s="2"/>
      <c r="B28" s="3"/>
      <c r="C28" s="2"/>
      <c r="D28" s="2"/>
      <c r="E28" s="4"/>
      <c r="F28" s="4"/>
      <c r="G28" s="4"/>
      <c r="H28" s="7"/>
      <c r="I28" s="8"/>
      <c r="J28" s="9"/>
      <c r="K28" s="5"/>
      <c r="L28" s="10"/>
      <c r="M28" s="11"/>
      <c r="N28" s="3"/>
    </row>
    <row r="29" spans="1:14" x14ac:dyDescent="0.35">
      <c r="A29" s="2"/>
      <c r="B29" s="3"/>
      <c r="C29" s="2"/>
      <c r="D29" s="2"/>
      <c r="E29" s="4"/>
      <c r="F29" s="4"/>
      <c r="G29" s="4"/>
      <c r="H29" s="7"/>
      <c r="I29" s="8"/>
      <c r="J29" s="9"/>
      <c r="K29" s="5"/>
      <c r="L29" s="10"/>
      <c r="M29" s="11"/>
      <c r="N29" s="3"/>
    </row>
    <row r="30" spans="1:14" x14ac:dyDescent="0.35">
      <c r="A30" s="2"/>
      <c r="B30" s="3"/>
      <c r="C30" s="2"/>
      <c r="D30" s="2"/>
      <c r="E30" s="4"/>
      <c r="F30" s="4"/>
      <c r="G30" s="4"/>
      <c r="H30" s="7"/>
      <c r="I30" s="8"/>
      <c r="J30" s="9"/>
      <c r="K30" s="5"/>
      <c r="L30" s="10"/>
      <c r="M30" s="11"/>
      <c r="N30" s="3"/>
    </row>
    <row r="31" spans="1:14" x14ac:dyDescent="0.35">
      <c r="A31" s="2"/>
      <c r="B31" s="3"/>
      <c r="C31" s="2"/>
      <c r="D31" s="2"/>
      <c r="E31" s="4"/>
      <c r="F31" s="4"/>
      <c r="G31" s="4"/>
      <c r="H31" s="7"/>
      <c r="I31" s="8"/>
      <c r="J31" s="9"/>
      <c r="K31" s="5"/>
      <c r="L31" s="10"/>
      <c r="M31" s="11"/>
      <c r="N31" s="3"/>
    </row>
    <row r="32" spans="1:14" x14ac:dyDescent="0.35">
      <c r="A32" s="2"/>
      <c r="B32" s="3"/>
      <c r="C32" s="2"/>
      <c r="D32" s="2"/>
      <c r="E32" s="4"/>
      <c r="F32" s="4"/>
      <c r="G32" s="4"/>
      <c r="H32" s="7"/>
      <c r="I32" s="8"/>
      <c r="J32" s="9"/>
      <c r="K32" s="5"/>
      <c r="L32" s="10"/>
      <c r="M32" s="11"/>
      <c r="N32" s="3"/>
    </row>
    <row r="33" spans="1:14" x14ac:dyDescent="0.35">
      <c r="A33" s="2"/>
      <c r="B33" s="3"/>
      <c r="C33" s="2"/>
      <c r="D33" s="2"/>
      <c r="E33" s="4"/>
      <c r="F33" s="4"/>
      <c r="G33" s="4"/>
      <c r="H33" s="7"/>
      <c r="I33" s="8"/>
      <c r="J33" s="9"/>
      <c r="K33" s="5"/>
      <c r="L33" s="10"/>
      <c r="M33" s="11"/>
      <c r="N33" s="3"/>
    </row>
    <row r="34" spans="1:14" x14ac:dyDescent="0.35">
      <c r="A34" s="2"/>
      <c r="B34" s="3"/>
      <c r="C34" s="2"/>
      <c r="D34" s="2"/>
      <c r="E34" s="4"/>
      <c r="F34" s="4"/>
      <c r="G34" s="4"/>
      <c r="H34" s="7"/>
      <c r="I34" s="8"/>
      <c r="J34" s="9"/>
      <c r="K34" s="5"/>
      <c r="L34" s="10"/>
      <c r="M34" s="11"/>
      <c r="N34" s="3"/>
    </row>
    <row r="35" spans="1:14" x14ac:dyDescent="0.35">
      <c r="A35" s="2"/>
      <c r="B35" s="3"/>
      <c r="C35" s="2"/>
      <c r="D35" s="2"/>
      <c r="E35" s="4"/>
      <c r="F35" s="4"/>
      <c r="G35" s="4"/>
      <c r="H35" s="7"/>
      <c r="I35" s="8"/>
      <c r="J35" s="9"/>
      <c r="K35" s="5"/>
      <c r="L35" s="10"/>
      <c r="M35" s="11"/>
      <c r="N35" s="3"/>
    </row>
    <row r="36" spans="1:14" x14ac:dyDescent="0.35">
      <c r="A36" s="2"/>
      <c r="B36" s="3"/>
      <c r="C36" s="2"/>
      <c r="D36" s="2"/>
      <c r="E36" s="4"/>
      <c r="F36" s="4"/>
      <c r="G36" s="4"/>
      <c r="H36" s="7"/>
      <c r="I36" s="8"/>
      <c r="J36" s="9"/>
      <c r="K36" s="5"/>
      <c r="L36" s="10"/>
      <c r="M36" s="11"/>
      <c r="N36" s="3"/>
    </row>
    <row r="37" spans="1:14" x14ac:dyDescent="0.35">
      <c r="A37" s="2"/>
      <c r="B37" s="3"/>
      <c r="C37" s="2"/>
      <c r="D37" s="2"/>
      <c r="E37" s="4"/>
      <c r="F37" s="4"/>
      <c r="G37" s="4"/>
      <c r="H37" s="7"/>
      <c r="I37" s="8"/>
      <c r="J37" s="9"/>
      <c r="K37" s="5"/>
      <c r="L37" s="10"/>
      <c r="M37" s="11"/>
      <c r="N37" s="3"/>
    </row>
    <row r="38" spans="1:14" x14ac:dyDescent="0.35">
      <c r="A38" s="2"/>
      <c r="B38" s="3"/>
      <c r="C38" s="2"/>
      <c r="D38" s="2"/>
      <c r="E38" s="4"/>
      <c r="F38" s="4"/>
      <c r="G38" s="4"/>
      <c r="H38" s="7"/>
      <c r="I38" s="8"/>
      <c r="J38" s="9"/>
      <c r="K38" s="5"/>
      <c r="L38" s="10"/>
      <c r="M38" s="11"/>
      <c r="N38" s="3"/>
    </row>
    <row r="39" spans="1:14" x14ac:dyDescent="0.35">
      <c r="A39" s="2"/>
      <c r="B39" s="3"/>
      <c r="C39" s="2"/>
      <c r="D39" s="2"/>
      <c r="E39" s="4"/>
      <c r="F39" s="4"/>
      <c r="G39" s="4"/>
      <c r="H39" s="7"/>
      <c r="I39" s="8"/>
      <c r="J39" s="9"/>
      <c r="K39" s="5"/>
      <c r="L39" s="10"/>
      <c r="M39" s="11"/>
      <c r="N39" s="3"/>
    </row>
    <row r="40" spans="1:14" x14ac:dyDescent="0.35">
      <c r="A40" s="2"/>
      <c r="B40" s="3"/>
      <c r="C40" s="2"/>
      <c r="D40" s="2"/>
      <c r="E40" s="4"/>
      <c r="F40" s="4"/>
      <c r="G40" s="4"/>
      <c r="H40" s="7"/>
      <c r="I40" s="8"/>
      <c r="J40" s="9"/>
      <c r="K40" s="5"/>
      <c r="L40" s="10"/>
      <c r="M40" s="11"/>
      <c r="N40" s="3"/>
    </row>
    <row r="41" spans="1:14" x14ac:dyDescent="0.35">
      <c r="A41" s="2"/>
      <c r="B41" s="3"/>
      <c r="C41" s="2"/>
      <c r="D41" s="2"/>
      <c r="E41" s="4"/>
      <c r="F41" s="4"/>
      <c r="G41" s="4"/>
      <c r="H41" s="7"/>
      <c r="I41" s="8"/>
      <c r="J41" s="9"/>
      <c r="K41" s="5"/>
      <c r="L41" s="10"/>
      <c r="M41" s="11"/>
      <c r="N41" s="3"/>
    </row>
  </sheetData>
  <autoFilter ref="A1:N1" xr:uid="{00000000-0009-0000-0000-000000000000}"/>
  <sortState xmlns:xlrd2="http://schemas.microsoft.com/office/spreadsheetml/2017/richdata2" ref="A2:N16">
    <sortCondition ref="E2:E16"/>
  </sortState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5" x14ac:dyDescent="0.35"/>
  <cols>
    <col min="1" max="1" width="30" customWidth="1"/>
    <col min="2" max="2" width="50" customWidth="1"/>
  </cols>
  <sheetData>
    <row r="1" spans="1:2" x14ac:dyDescent="0.35">
      <c r="A1" s="6" t="s">
        <v>20</v>
      </c>
      <c r="B1" s="6" t="s">
        <v>21</v>
      </c>
    </row>
    <row r="2" spans="1:2" x14ac:dyDescent="0.35">
      <c r="A2" t="s">
        <v>22</v>
      </c>
      <c r="B2" t="s">
        <v>23</v>
      </c>
    </row>
    <row r="3" spans="1:2" x14ac:dyDescent="0.35">
      <c r="A3" t="s">
        <v>24</v>
      </c>
      <c r="B3" t="s">
        <v>25</v>
      </c>
    </row>
    <row r="4" spans="1:2" x14ac:dyDescent="0.35">
      <c r="A4" t="s">
        <v>26</v>
      </c>
      <c r="B4" t="s">
        <v>27</v>
      </c>
    </row>
    <row r="5" spans="1:2" x14ac:dyDescent="0.35">
      <c r="A5" t="s">
        <v>7</v>
      </c>
      <c r="B5" t="s">
        <v>28</v>
      </c>
    </row>
    <row r="6" spans="1:2" x14ac:dyDescent="0.35">
      <c r="A6" t="s">
        <v>8</v>
      </c>
      <c r="B6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Watchlist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Mariah Hilton</cp:lastModifiedBy>
  <dcterms:created xsi:type="dcterms:W3CDTF">2026-06-03T17:02:08Z</dcterms:created>
  <dcterms:modified xsi:type="dcterms:W3CDTF">2026-08-24T23:03:38Z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2ea4b4-4dbb-4e15-a745-1220e0fdca8a_Enabled">
    <vt:lpwstr>true</vt:lpwstr>
  </property>
  <property fmtid="{D5CDD505-2E9C-101B-9397-08002B2CF9AE}" pid="3" name="MSIP_Label_452ea4b4-4dbb-4e15-a745-1220e0fdca8a_SetDate">
    <vt:lpwstr>2026-06-03T19:37:52Z</vt:lpwstr>
  </property>
  <property fmtid="{D5CDD505-2E9C-101B-9397-08002B2CF9AE}" pid="4" name="MSIP_Label_452ea4b4-4dbb-4e15-a745-1220e0fdca8a_Method">
    <vt:lpwstr>Standard</vt:lpwstr>
  </property>
  <property fmtid="{D5CDD505-2E9C-101B-9397-08002B2CF9AE}" pid="5" name="MSIP_Label_452ea4b4-4dbb-4e15-a745-1220e0fdca8a_Name">
    <vt:lpwstr>defa4170-0d19-0005-0004-bc88714345d2</vt:lpwstr>
  </property>
  <property fmtid="{D5CDD505-2E9C-101B-9397-08002B2CF9AE}" pid="6" name="MSIP_Label_452ea4b4-4dbb-4e15-a745-1220e0fdca8a_SiteId">
    <vt:lpwstr>3fa43375-3934-4045-8aaa-43aaf7bf586c</vt:lpwstr>
  </property>
  <property fmtid="{D5CDD505-2E9C-101B-9397-08002B2CF9AE}" pid="7" name="MSIP_Label_452ea4b4-4dbb-4e15-a745-1220e0fdca8a_ActionId">
    <vt:lpwstr>72ab1288-bc4f-4d5c-92c2-372ebc39eaba</vt:lpwstr>
  </property>
  <property fmtid="{D5CDD505-2E9C-101B-9397-08002B2CF9AE}" pid="8" name="MSIP_Label_452ea4b4-4dbb-4e15-a745-1220e0fdca8a_ContentBits">
    <vt:lpwstr>0</vt:lpwstr>
  </property>
  <property fmtid="{D5CDD505-2E9C-101B-9397-08002B2CF9AE}" pid="9" name="MSIP_Label_452ea4b4-4dbb-4e15-a745-1220e0fdca8a_Tag">
    <vt:lpwstr>10, 3, 0, 1</vt:lpwstr>
  </property>
</Properties>
</file>